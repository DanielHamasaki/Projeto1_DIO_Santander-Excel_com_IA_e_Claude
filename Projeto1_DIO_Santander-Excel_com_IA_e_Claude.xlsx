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8\Documents\DIO\Excel\Pasta 2\"/>
    </mc:Choice>
  </mc:AlternateContent>
  <xr:revisionPtr revIDLastSave="0" documentId="13_ncr:1_{3B2BA46A-C6F7-4370-A138-BFCF713F476B}" xr6:coauthVersionLast="47" xr6:coauthVersionMax="47" xr10:uidLastSave="{00000000-0000-0000-0000-000000000000}"/>
  <bookViews>
    <workbookView xWindow="38280" yWindow="-120" windowWidth="38640" windowHeight="21120" xr2:uid="{DDB62F08-7FAF-49E0-A64D-3A6D9E6F6748}"/>
  </bookViews>
  <sheets>
    <sheet name="APP" sheetId="1" r:id="rId1"/>
    <sheet name="Tab_apoio" sheetId="3" r:id="rId2"/>
  </sheets>
  <definedNames>
    <definedName name="aporte">APP!$D$16</definedName>
    <definedName name="patrimonio_acumulado">APP!$D$19</definedName>
    <definedName name="periodo">APP!$D$17</definedName>
    <definedName name="rendimento_carteira">APP!$D$12</definedName>
    <definedName name="salario">APP!$D$11</definedName>
    <definedName name="sugestao_invest">APP!$D$13</definedName>
    <definedName name="taxa_mensal">APP!$D$18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C34" i="1"/>
  <c r="D34" i="1" s="1"/>
  <c r="C35" i="1"/>
  <c r="D35" i="1" s="1"/>
  <c r="C37" i="1"/>
  <c r="D37" i="1" s="1"/>
  <c r="C38" i="1"/>
  <c r="C33" i="1"/>
  <c r="D33" i="1" s="1"/>
  <c r="B20" i="3"/>
  <c r="B19" i="3"/>
  <c r="B18" i="3"/>
  <c r="B17" i="3"/>
  <c r="B16" i="3"/>
  <c r="B15" i="3"/>
  <c r="B14" i="3"/>
  <c r="B13" i="3"/>
  <c r="B12" i="3"/>
  <c r="B11" i="3"/>
  <c r="B10" i="3"/>
  <c r="B9" i="3"/>
  <c r="B4" i="3"/>
  <c r="B5" i="3"/>
  <c r="B6" i="3"/>
  <c r="B7" i="3"/>
  <c r="B8" i="3"/>
  <c r="B3" i="3"/>
  <c r="D13" i="1"/>
  <c r="D19" i="1"/>
  <c r="D20" i="1" s="1"/>
  <c r="C24" i="1"/>
  <c r="D24" i="1" s="1"/>
  <c r="C25" i="1"/>
  <c r="D25" i="1" s="1"/>
  <c r="C26" i="1"/>
  <c r="D26" i="1" s="1"/>
  <c r="C27" i="1"/>
  <c r="D27" i="1" s="1"/>
  <c r="C23" i="1"/>
  <c r="D23" i="1" s="1"/>
  <c r="C39" i="1" l="1"/>
  <c r="D38" i="1"/>
  <c r="D36" i="1"/>
  <c r="D39" i="1" l="1"/>
</calcChain>
</file>

<file path=xl/sharedStrings.xml><?xml version="1.0" encoding="utf-8"?>
<sst xmlns="http://schemas.openxmlformats.org/spreadsheetml/2006/main" count="70" uniqueCount="36">
  <si>
    <t>INVESTIMENTO MENSAL</t>
  </si>
  <si>
    <t>Quanto investir ao mês</t>
  </si>
  <si>
    <t>Por quantos anos</t>
  </si>
  <si>
    <t>Taxa de rendimento mensal</t>
  </si>
  <si>
    <t>Patrimônio acumulado</t>
  </si>
  <si>
    <t>Dividendos mensais</t>
  </si>
  <si>
    <t>2 Anos</t>
  </si>
  <si>
    <t>5 Anos</t>
  </si>
  <si>
    <t>10 Anos</t>
  </si>
  <si>
    <t>20 Anos</t>
  </si>
  <si>
    <t>30 Anos</t>
  </si>
  <si>
    <t>Dividendos</t>
  </si>
  <si>
    <t>CONFIGURAÇÕES</t>
  </si>
  <si>
    <t>Salário</t>
  </si>
  <si>
    <t>Rendimento da Carteira</t>
  </si>
  <si>
    <t>Sugestão de investimento</t>
  </si>
  <si>
    <t>CENÁRIOS</t>
  </si>
  <si>
    <t>PERFIL</t>
  </si>
  <si>
    <t>Perfil</t>
  </si>
  <si>
    <t>Conservador</t>
  </si>
  <si>
    <t>Moderado</t>
  </si>
  <si>
    <t>Agressivo</t>
  </si>
  <si>
    <t>Valor Mensal</t>
  </si>
  <si>
    <t>TIPOS DE FIIs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</si>
  <si>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</si>
  <si>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</si>
  <si>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</si>
  <si>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</si>
  <si>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</si>
  <si>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</si>
  <si>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</si>
  <si>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</si>
  <si>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</si>
  <si>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Tipo de FII</t>
  </si>
  <si>
    <t>%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</si>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</sst>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0.14996795556505021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2" borderId="7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horizontal="left" indent="2"/>
    </xf>
    <xf numFmtId="0" fontId="4" fillId="0" borderId="0" xfId="0" applyFont="1" applyAlignment="1">
      <alignment horizontal="left" indent="2"/>
    </xf>
    <xf numFmtId="0" fontId="4" fillId="3" borderId="14" xfId="0" applyFont="1" applyFill="1" applyBorder="1" applyAlignment="1">
      <alignment horizontal="left" indent="2"/>
    </xf>
    <xf numFmtId="0" fontId="4" fillId="3" borderId="8" xfId="0" applyFont="1" applyFill="1" applyBorder="1" applyAlignment="1">
      <alignment horizontal="left" indent="2"/>
    </xf>
    <xf numFmtId="0" fontId="4" fillId="3" borderId="10" xfId="0" applyFont="1" applyFill="1" applyBorder="1" applyAlignment="1">
      <alignment horizontal="left" indent="2"/>
    </xf>
    <xf numFmtId="164" fontId="1" fillId="0" borderId="9" xfId="1" applyNumberFormat="1" applyFont="1" applyBorder="1" applyAlignment="1">
      <alignment horizontal="left"/>
    </xf>
    <xf numFmtId="10" fontId="1" fillId="0" borderId="9" xfId="0" applyNumberFormat="1" applyFont="1" applyBorder="1" applyAlignment="1">
      <alignment horizontal="left"/>
    </xf>
    <xf numFmtId="164" fontId="1" fillId="0" borderId="12" xfId="1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164" fontId="1" fillId="0" borderId="17" xfId="1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8" fontId="1" fillId="3" borderId="9" xfId="0" applyNumberFormat="1" applyFont="1" applyFill="1" applyBorder="1" applyAlignment="1">
      <alignment horizontal="left"/>
    </xf>
    <xf numFmtId="8" fontId="1" fillId="3" borderId="1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8" fontId="0" fillId="3" borderId="13" xfId="0" applyNumberFormat="1" applyFill="1" applyBorder="1" applyAlignment="1">
      <alignment horizontal="left"/>
    </xf>
    <xf numFmtId="8" fontId="0" fillId="3" borderId="15" xfId="0" applyNumberFormat="1" applyFill="1" applyBorder="1" applyAlignment="1">
      <alignment horizontal="left"/>
    </xf>
    <xf numFmtId="8" fontId="0" fillId="3" borderId="6" xfId="0" applyNumberFormat="1" applyFill="1" applyBorder="1" applyAlignment="1">
      <alignment horizontal="left"/>
    </xf>
    <xf numFmtId="8" fontId="0" fillId="3" borderId="9" xfId="0" applyNumberFormat="1" applyFill="1" applyBorder="1" applyAlignment="1">
      <alignment horizontal="left"/>
    </xf>
    <xf numFmtId="8" fontId="0" fillId="3" borderId="11" xfId="0" applyNumberFormat="1" applyFill="1" applyBorder="1" applyAlignment="1">
      <alignment horizontal="left"/>
    </xf>
    <xf numFmtId="8" fontId="0" fillId="3" borderId="12" xfId="0" applyNumberFormat="1" applyFill="1" applyBorder="1" applyAlignment="1">
      <alignment horizontal="left"/>
    </xf>
    <xf numFmtId="0" fontId="6" fillId="2" borderId="0" xfId="0" applyFont="1" applyFill="1"/>
    <xf numFmtId="9" fontId="0" fillId="3" borderId="13" xfId="2" applyFont="1" applyFill="1" applyBorder="1" applyAlignment="1">
      <alignment horizontal="left"/>
    </xf>
    <xf numFmtId="9" fontId="0" fillId="3" borderId="11" xfId="2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left" indent="2"/>
    </xf>
    <xf numFmtId="8" fontId="0" fillId="5" borderId="12" xfId="0" applyNumberFormat="1" applyFill="1" applyBorder="1" applyAlignment="1">
      <alignment horizontal="left"/>
    </xf>
    <xf numFmtId="0" fontId="0" fillId="6" borderId="19" xfId="0" applyFill="1" applyBorder="1"/>
    <xf numFmtId="0" fontId="0" fillId="6" borderId="20" xfId="0" applyFill="1" applyBorder="1"/>
    <xf numFmtId="9" fontId="0" fillId="6" borderId="21" xfId="2" applyFont="1" applyFill="1" applyBorder="1"/>
    <xf numFmtId="0" fontId="0" fillId="6" borderId="22" xfId="0" applyFill="1" applyBorder="1"/>
    <xf numFmtId="0" fontId="0" fillId="6" borderId="23" xfId="0" applyFill="1" applyBorder="1"/>
    <xf numFmtId="9" fontId="0" fillId="6" borderId="24" xfId="2" applyFont="1" applyFill="1" applyBorder="1"/>
    <xf numFmtId="0" fontId="0" fillId="7" borderId="22" xfId="0" applyFill="1" applyBorder="1"/>
    <xf numFmtId="0" fontId="0" fillId="7" borderId="23" xfId="0" applyFill="1" applyBorder="1"/>
    <xf numFmtId="9" fontId="0" fillId="7" borderId="24" xfId="2" applyFont="1" applyFill="1" applyBorder="1"/>
    <xf numFmtId="0" fontId="0" fillId="8" borderId="22" xfId="0" applyFill="1" applyBorder="1"/>
    <xf numFmtId="0" fontId="0" fillId="8" borderId="23" xfId="0" applyFill="1" applyBorder="1"/>
    <xf numFmtId="9" fontId="0" fillId="8" borderId="24" xfId="2" applyFont="1" applyFill="1" applyBorder="1"/>
    <xf numFmtId="0" fontId="0" fillId="8" borderId="25" xfId="0" applyFill="1" applyBorder="1"/>
    <xf numFmtId="0" fontId="0" fillId="8" borderId="26" xfId="0" applyFill="1" applyBorder="1"/>
    <xf numFmtId="9" fontId="0" fillId="8" borderId="27" xfId="2" applyFont="1" applyFill="1" applyBorder="1"/>
    <xf numFmtId="0" fontId="0" fillId="6" borderId="25" xfId="0" applyFill="1" applyBorder="1"/>
    <xf numFmtId="0" fontId="0" fillId="6" borderId="26" xfId="0" applyFill="1" applyBorder="1"/>
    <xf numFmtId="9" fontId="0" fillId="6" borderId="27" xfId="2" applyFont="1" applyFill="1" applyBorder="1"/>
    <xf numFmtId="0" fontId="0" fillId="7" borderId="19" xfId="0" applyFill="1" applyBorder="1"/>
    <xf numFmtId="0" fontId="0" fillId="7" borderId="20" xfId="0" applyFill="1" applyBorder="1"/>
    <xf numFmtId="9" fontId="0" fillId="7" borderId="21" xfId="2" applyFont="1" applyFill="1" applyBorder="1"/>
    <xf numFmtId="0" fontId="0" fillId="7" borderId="25" xfId="0" applyFill="1" applyBorder="1"/>
    <xf numFmtId="0" fontId="0" fillId="7" borderId="26" xfId="0" applyFill="1" applyBorder="1"/>
    <xf numFmtId="9" fontId="0" fillId="7" borderId="27" xfId="2" applyFont="1" applyFill="1" applyBorder="1"/>
    <xf numFmtId="0" fontId="0" fillId="8" borderId="19" xfId="0" applyFill="1" applyBorder="1"/>
    <xf numFmtId="0" fontId="0" fillId="8" borderId="20" xfId="0" applyFill="1" applyBorder="1"/>
    <xf numFmtId="9" fontId="0" fillId="8" borderId="21" xfId="2" applyFont="1" applyFill="1" applyBorder="1"/>
    <xf numFmtId="9" fontId="0" fillId="5" borderId="28" xfId="2" applyFont="1" applyFill="1" applyBorder="1" applyAlignment="1">
      <alignment horizontal="left"/>
    </xf>
    <xf numFmtId="0" fontId="3" fillId="2" borderId="3" xfId="0" applyFont="1" applyFill="1" applyBorder="1" applyAlignment="1">
      <alignment horizontal="left" indent="2"/>
    </xf>
    <xf numFmtId="0" fontId="3" fillId="2" borderId="4" xfId="0" applyFont="1" applyFill="1" applyBorder="1" applyAlignment="1">
      <alignment horizontal="left" indent="2"/>
    </xf>
    <xf numFmtId="0" fontId="4" fillId="0" borderId="8" xfId="0" applyFont="1" applyBorder="1" applyAlignment="1">
      <alignment horizontal="left" indent="2"/>
    </xf>
    <xf numFmtId="0" fontId="4" fillId="0" borderId="6" xfId="0" applyFont="1" applyBorder="1" applyAlignment="1">
      <alignment horizontal="left" indent="2"/>
    </xf>
    <xf numFmtId="0" fontId="3" fillId="2" borderId="1" xfId="0" applyFont="1" applyFill="1" applyBorder="1" applyAlignment="1">
      <alignment horizontal="left" indent="2"/>
    </xf>
    <xf numFmtId="0" fontId="3" fillId="2" borderId="16" xfId="0" applyFont="1" applyFill="1" applyBorder="1" applyAlignment="1">
      <alignment horizontal="left" indent="2"/>
    </xf>
    <xf numFmtId="0" fontId="5" fillId="3" borderId="10" xfId="0" applyFont="1" applyFill="1" applyBorder="1" applyAlignment="1">
      <alignment horizontal="left" indent="2"/>
    </xf>
    <xf numFmtId="0" fontId="5" fillId="3" borderId="11" xfId="0" applyFont="1" applyFill="1" applyBorder="1" applyAlignment="1">
      <alignment horizontal="left" indent="2"/>
    </xf>
    <xf numFmtId="0" fontId="4" fillId="3" borderId="14" xfId="0" applyFont="1" applyFill="1" applyBorder="1" applyAlignment="1">
      <alignment horizontal="left" indent="2"/>
    </xf>
    <xf numFmtId="0" fontId="4" fillId="3" borderId="13" xfId="0" applyFont="1" applyFill="1" applyBorder="1" applyAlignment="1">
      <alignment horizontal="left" indent="2"/>
    </xf>
    <xf numFmtId="0" fontId="4" fillId="3" borderId="8" xfId="0" applyFont="1" applyFill="1" applyBorder="1" applyAlignment="1">
      <alignment horizontal="left" indent="2"/>
    </xf>
    <xf numFmtId="0" fontId="4" fillId="3" borderId="6" xfId="0" applyFont="1" applyFill="1" applyBorder="1" applyAlignment="1">
      <alignment horizontal="left" indent="2"/>
    </xf>
    <xf numFmtId="0" fontId="5" fillId="3" borderId="18" xfId="0" applyFont="1" applyFill="1" applyBorder="1" applyAlignment="1">
      <alignment horizontal="left" indent="2"/>
    </xf>
    <xf numFmtId="0" fontId="5" fillId="3" borderId="5" xfId="0" applyFont="1" applyFill="1" applyBorder="1" applyAlignment="1">
      <alignment horizontal="left" indent="2"/>
    </xf>
    <xf numFmtId="0" fontId="4" fillId="3" borderId="10" xfId="0" applyFont="1" applyFill="1" applyBorder="1" applyAlignment="1">
      <alignment horizontal="left" indent="2"/>
    </xf>
    <xf numFmtId="0" fontId="4" fillId="3" borderId="11" xfId="0" applyFont="1" applyFill="1" applyBorder="1" applyAlignment="1">
      <alignment horizontal="left" indent="2"/>
    </xf>
    <xf numFmtId="0" fontId="4" fillId="0" borderId="14" xfId="0" applyFont="1" applyBorder="1" applyAlignment="1">
      <alignment horizontal="left" indent="2"/>
    </xf>
    <xf numFmtId="0" fontId="4" fillId="0" borderId="13" xfId="0" applyFont="1" applyBorder="1" applyAlignment="1">
      <alignment horizontal="left" indent="2"/>
    </xf>
  </cellXfs>
  <cellStyles count="3">
    <cellStyle name="Moeda" xfId="1" builtinId="4"/>
    <cellStyle name="Normal" xfId="0" builtinId="0"/>
    <cellStyle name="Porcentagem" xfId="2" builtinId="5"/>
  </cellStyles>
  <dxfs count="3"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E2-462C-8143-6D0C6F78E2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E2-462C-8143-6D0C6F78E2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E2-462C-8143-6D0C6F78E2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5E2-462C-8143-6D0C6F78E28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5E2-462C-8143-6D0C6F78E28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5E2-462C-8143-6D0C6F78E286}"/>
              </c:ext>
            </c:extLst>
          </c:dPt>
          <c:cat>
            <c:strRef>
              <c:f>APP!$B$33:$B$38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APP!$C$33:$C$38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B-4205-A2BE-BEE055D37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600075</xdr:colOff>
      <xdr:row>0</xdr:row>
      <xdr:rowOff>152401</xdr:rowOff>
    </xdr:from>
    <xdr:to>
      <xdr:col>3</xdr:col>
      <xdr:colOff>342900</xdr:colOff>
      <xdr:row>8</xdr:row>
      <xdr:rowOff>29747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1B8E2A-0DC2-4E2F-B89F-7A05440A8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600075" y="152401"/>
          <a:ext cx="5257800" cy="1401346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40</xdr:row>
      <xdr:rowOff>14287</xdr:rowOff>
    </xdr:from>
    <xdr:to>
      <xdr:col>3</xdr:col>
      <xdr:colOff>95250</xdr:colOff>
      <xdr:row>54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6F1591-3FD2-36E1-432A-3E558FB26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BC9D-F8C0-434E-B08B-7DDD8717E37D}">
  <dimension ref="A1:F56"/>
  <sheetViews>
    <sheetView showGridLines="0" showRowColHeaders="0" tabSelected="1" workbookViewId="0">
      <selection activeCell="D38" sqref="D3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9.42578125" customWidth="1"/>
    <col min="2" max="2" width="42.42578125" customWidth="1"/>
    <col min="3" max="3" width="30.85546875" bestFit="1" customWidth="1"/>
    <col min="4" max="4" width="12.7109375" bestFit="1" customWidth="1"/>
    <col min="5" max="5" width="9.42578125" customWidth="1"/>
    <col min="6" max="6" width="12.140625" hidden="1" customWidth="1"/>
    <col min="7" max="11" width="9.140625" hidden="1" customWidth="1"/>
    <col min="12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ht="15.75" x14ac:dyDescent="0.25">
      <c r="B10" s="62" t="s">
        <v>12</v>
      </c>
      <c r="C10" s="63"/>
      <c r="D10" s="2"/>
    </row>
    <row r="11" spans="2:4" ht="15.75" x14ac:dyDescent="0.25">
      <c r="B11" s="66" t="s">
        <v>13</v>
      </c>
      <c r="C11" s="67"/>
      <c r="D11" s="9">
        <v>3000</v>
      </c>
    </row>
    <row r="12" spans="2:4" ht="15.75" x14ac:dyDescent="0.25">
      <c r="B12" s="68" t="s">
        <v>14</v>
      </c>
      <c r="C12" s="69"/>
      <c r="D12" s="10">
        <v>0.01</v>
      </c>
    </row>
    <row r="13" spans="2:4" ht="15.75" x14ac:dyDescent="0.25">
      <c r="B13" s="72" t="s">
        <v>15</v>
      </c>
      <c r="C13" s="73"/>
      <c r="D13" s="11">
        <f>salario*30%</f>
        <v>900</v>
      </c>
    </row>
    <row r="14" spans="2:4" ht="15.75" x14ac:dyDescent="0.25">
      <c r="B14" s="5"/>
      <c r="C14" s="4"/>
      <c r="D14" s="12"/>
    </row>
    <row r="15" spans="2:4" ht="15.75" x14ac:dyDescent="0.25">
      <c r="B15" s="62" t="s">
        <v>0</v>
      </c>
      <c r="C15" s="63"/>
      <c r="D15" s="3"/>
    </row>
    <row r="16" spans="2:4" ht="15.75" x14ac:dyDescent="0.25">
      <c r="B16" s="74" t="s">
        <v>1</v>
      </c>
      <c r="C16" s="75"/>
      <c r="D16" s="13">
        <v>1500</v>
      </c>
    </row>
    <row r="17" spans="1:4" ht="15.75" x14ac:dyDescent="0.25">
      <c r="B17" s="60" t="s">
        <v>2</v>
      </c>
      <c r="C17" s="61"/>
      <c r="D17" s="14">
        <v>5</v>
      </c>
    </row>
    <row r="18" spans="1:4" ht="15.75" x14ac:dyDescent="0.25">
      <c r="B18" s="60" t="s">
        <v>3</v>
      </c>
      <c r="C18" s="61"/>
      <c r="D18" s="10">
        <v>1.0789999999999999E-2</v>
      </c>
    </row>
    <row r="19" spans="1:4" ht="15.75" x14ac:dyDescent="0.25">
      <c r="B19" s="70" t="s">
        <v>4</v>
      </c>
      <c r="C19" s="71"/>
      <c r="D19" s="15">
        <f>FV(taxa_mensal,periodo*12,aporte*-1)</f>
        <v>125665.37099773147</v>
      </c>
    </row>
    <row r="20" spans="1:4" ht="15.75" x14ac:dyDescent="0.25">
      <c r="B20" s="64" t="s">
        <v>5</v>
      </c>
      <c r="C20" s="65"/>
      <c r="D20" s="16">
        <f>patrimonio_acumulado*rendimento_carteira</f>
        <v>1256.6537099773147</v>
      </c>
    </row>
    <row r="21" spans="1:4" ht="15.75" x14ac:dyDescent="0.25">
      <c r="B21" s="12"/>
      <c r="C21" s="12"/>
      <c r="D21" s="12"/>
    </row>
    <row r="22" spans="1:4" ht="15.75" x14ac:dyDescent="0.25">
      <c r="B22" s="58" t="s">
        <v>16</v>
      </c>
      <c r="C22" s="59"/>
      <c r="D22" s="17" t="s">
        <v>11</v>
      </c>
    </row>
    <row r="23" spans="1:4" ht="15.75" x14ac:dyDescent="0.25">
      <c r="A23" s="1">
        <v>2</v>
      </c>
      <c r="B23" s="6" t="s">
        <v>6</v>
      </c>
      <c r="C23" s="18">
        <f>FV($D$18,A23*12,$D$16*-1)</f>
        <v>40841.440946467825</v>
      </c>
      <c r="D23" s="19">
        <f>C23*rendimento_carteira</f>
        <v>408.41440946467827</v>
      </c>
    </row>
    <row r="24" spans="1:4" ht="15.75" x14ac:dyDescent="0.25">
      <c r="A24" s="1">
        <v>5</v>
      </c>
      <c r="B24" s="7" t="s">
        <v>7</v>
      </c>
      <c r="C24" s="20">
        <f>FV($D$18,A24*12,$D$16*-1)</f>
        <v>125665.37099773147</v>
      </c>
      <c r="D24" s="21">
        <f>C24*rendimento_carteira</f>
        <v>1256.6537099773147</v>
      </c>
    </row>
    <row r="25" spans="1:4" ht="15.75" x14ac:dyDescent="0.25">
      <c r="A25" s="1">
        <v>10</v>
      </c>
      <c r="B25" s="7" t="s">
        <v>8</v>
      </c>
      <c r="C25" s="20">
        <f>FV($D$18,A25*12,$D$16*-1)</f>
        <v>364926.3187952583</v>
      </c>
      <c r="D25" s="21">
        <f>C25*rendimento_carteira</f>
        <v>3649.2631879525829</v>
      </c>
    </row>
    <row r="26" spans="1:4" ht="15.75" x14ac:dyDescent="0.25">
      <c r="A26" s="1">
        <v>20</v>
      </c>
      <c r="B26" s="7" t="s">
        <v>9</v>
      </c>
      <c r="C26" s="20">
        <f>FV($D$18,A26*12,$D$16*-1)</f>
        <v>1687797.600145621</v>
      </c>
      <c r="D26" s="21">
        <f>C26*rendimento_carteira</f>
        <v>16877.976001456209</v>
      </c>
    </row>
    <row r="27" spans="1:4" ht="15.75" x14ac:dyDescent="0.25">
      <c r="A27" s="1">
        <v>30</v>
      </c>
      <c r="B27" s="8" t="s">
        <v>10</v>
      </c>
      <c r="C27" s="22">
        <f>FV($D$18,A27*12,$D$16*-1)</f>
        <v>6483254.4825070715</v>
      </c>
      <c r="D27" s="23">
        <f>C27*rendimento_carteira</f>
        <v>64832.54482507072</v>
      </c>
    </row>
    <row r="28" spans="1:4" x14ac:dyDescent="0.25"/>
    <row r="29" spans="1:4" ht="15.75" x14ac:dyDescent="0.25">
      <c r="B29" s="58" t="s">
        <v>17</v>
      </c>
      <c r="C29" s="59"/>
      <c r="D29" s="27" t="s">
        <v>19</v>
      </c>
    </row>
    <row r="30" spans="1:4" ht="15.75" x14ac:dyDescent="0.25">
      <c r="B30" s="8" t="s">
        <v>22</v>
      </c>
      <c r="C30" s="22"/>
      <c r="D30" s="23">
        <v>300</v>
      </c>
    </row>
    <row r="31" spans="1:4" x14ac:dyDescent="0.25"/>
    <row r="32" spans="1:4" x14ac:dyDescent="0.25">
      <c r="B32" s="24" t="s">
        <v>23</v>
      </c>
      <c r="C32" s="24" t="s">
        <v>24</v>
      </c>
      <c r="D32" s="24" t="s">
        <v>25</v>
      </c>
    </row>
    <row r="33" spans="2:4" ht="15.75" x14ac:dyDescent="0.25">
      <c r="B33" s="6" t="s">
        <v>26</v>
      </c>
      <c r="C33" s="25">
        <f>VLOOKUP($D$29&amp;"-"&amp;B33,Tab_apoio!$B$3:$E$20,4,FALSE)</f>
        <v>0.3</v>
      </c>
      <c r="D33" s="19">
        <f t="shared" ref="D33:D38" si="0">C33*$D$30</f>
        <v>90</v>
      </c>
    </row>
    <row r="34" spans="2:4" ht="15.75" x14ac:dyDescent="0.25">
      <c r="B34" s="6" t="s">
        <v>27</v>
      </c>
      <c r="C34" s="25">
        <f>VLOOKUP($D$29&amp;"-"&amp;B34,Tab_apoio!$B$3:$E$20,4,FALSE)</f>
        <v>0.5</v>
      </c>
      <c r="D34" s="19">
        <f t="shared" si="0"/>
        <v>150</v>
      </c>
    </row>
    <row r="35" spans="2:4" ht="15.75" x14ac:dyDescent="0.25">
      <c r="B35" s="7" t="s">
        <v>28</v>
      </c>
      <c r="C35" s="25">
        <f>VLOOKUP($D$29&amp;"-"&amp;B35,Tab_apoio!$B$3:$E$20,4,FALSE)</f>
        <v>0.1</v>
      </c>
      <c r="D35" s="21">
        <f t="shared" si="0"/>
        <v>30</v>
      </c>
    </row>
    <row r="36" spans="2:4" ht="15.75" x14ac:dyDescent="0.25">
      <c r="B36" s="7" t="s">
        <v>29</v>
      </c>
      <c r="C36" s="25">
        <f>VLOOKUP($D$29&amp;"-"&amp;B36,Tab_apoio!$B$3:$E$20,4,FALSE)</f>
        <v>0.1</v>
      </c>
      <c r="D36" s="21">
        <f t="shared" si="0"/>
        <v>30</v>
      </c>
    </row>
    <row r="37" spans="2:4" ht="15.75" x14ac:dyDescent="0.25">
      <c r="B37" s="7" t="s">
        <v>30</v>
      </c>
      <c r="C37" s="25">
        <f>VLOOKUP($D$29&amp;"-"&amp;B37,Tab_apoio!$B$3:$E$20,4,FALSE)</f>
        <v>0</v>
      </c>
      <c r="D37" s="21">
        <f t="shared" si="0"/>
        <v>0</v>
      </c>
    </row>
    <row r="38" spans="2:4" ht="15.75" x14ac:dyDescent="0.25">
      <c r="B38" s="8" t="s">
        <v>31</v>
      </c>
      <c r="C38" s="26">
        <f>VLOOKUP($D$29&amp;"-"&amp;B38,Tab_apoio!$B$3:$E$20,4,FALSE)</f>
        <v>0</v>
      </c>
      <c r="D38" s="23">
        <f t="shared" si="0"/>
        <v>0</v>
      </c>
    </row>
    <row r="39" spans="2:4" ht="15.75" x14ac:dyDescent="0.25">
      <c r="B39" s="28" t="s">
        <v>32</v>
      </c>
      <c r="C39" s="57">
        <f>SUM(C33:C38)</f>
        <v>1</v>
      </c>
      <c r="D39" s="29">
        <f>SUM(D33:D38)</f>
        <v>300</v>
      </c>
    </row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</sheetData>
  <mergeCells count="12">
    <mergeCell ref="B10:C10"/>
    <mergeCell ref="B11:C11"/>
    <mergeCell ref="B12:C12"/>
    <mergeCell ref="B19:C19"/>
    <mergeCell ref="B13:C13"/>
    <mergeCell ref="B16:C16"/>
    <mergeCell ref="B17:C17"/>
    <mergeCell ref="B29:C29"/>
    <mergeCell ref="B18:C18"/>
    <mergeCell ref="B15:C15"/>
    <mergeCell ref="B22:C22"/>
    <mergeCell ref="B20:C20"/>
  </mergeCells>
  <conditionalFormatting sqref="D29">
    <cfRule type="containsText" dxfId="2" priority="1" operator="containsText" text="Moderado">
      <formula>NOT(ISERROR(SEARCH("Moderado",D29)))</formula>
    </cfRule>
    <cfRule type="containsText" dxfId="1" priority="2" operator="containsText" text="Agressivo">
      <formula>NOT(ISERROR(SEARCH("Agressivo",D29)))</formula>
    </cfRule>
    <cfRule type="containsText" dxfId="0" priority="3" operator="containsText" text="Conservador">
      <formula>NOT(ISERROR(SEARCH("Conservador",D29)))</formula>
    </cfRule>
  </conditionalFormatting>
  <dataValidations count="1">
    <dataValidation type="list" allowBlank="1" showInputMessage="1" showErrorMessage="1" sqref="D29" xr:uid="{6BB20804-A222-440D-89A1-3C848D303A9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BE7A-03CC-4AEE-9D6F-7F139A0CA93A}">
  <dimension ref="B2:E20"/>
  <sheetViews>
    <sheetView workbookViewId="0">
      <selection activeCell="G21" sqref="G21"/>
    </sheetView>
  </sheetViews>
  <sheetFormatPr defaultRowHeight="15" x14ac:dyDescent="0.25"/>
  <cols>
    <col min="1" max="1" width="12.140625" customWidth="1"/>
    <col min="2" max="2" width="30.85546875" bestFit="1" customWidth="1"/>
    <col min="3" max="3" width="12.140625" bestFit="1" customWidth="1"/>
  </cols>
  <sheetData>
    <row r="2" spans="2:5" x14ac:dyDescent="0.25">
      <c r="B2" t="s">
        <v>35</v>
      </c>
      <c r="C2" t="s">
        <v>18</v>
      </c>
      <c r="D2" t="s">
        <v>33</v>
      </c>
      <c r="E2" t="s">
        <v>34</v>
      </c>
    </row>
    <row r="3" spans="2:5" x14ac:dyDescent="0.25">
      <c r="B3" s="30" t="str">
        <f>C3&amp;"-"&amp;D3</f>
        <v>Conservador-PAPEL</v>
      </c>
      <c r="C3" s="31" t="s">
        <v>19</v>
      </c>
      <c r="D3" s="31" t="s">
        <v>26</v>
      </c>
      <c r="E3" s="32">
        <v>0.3</v>
      </c>
    </row>
    <row r="4" spans="2:5" x14ac:dyDescent="0.25">
      <c r="B4" s="33" t="str">
        <f t="shared" ref="B4:B8" si="0">C4&amp;"-"&amp;D4</f>
        <v>Conservador-TIJOLO</v>
      </c>
      <c r="C4" s="34" t="s">
        <v>19</v>
      </c>
      <c r="D4" s="34" t="s">
        <v>27</v>
      </c>
      <c r="E4" s="35">
        <v>0.5</v>
      </c>
    </row>
    <row r="5" spans="2:5" x14ac:dyDescent="0.25">
      <c r="B5" s="33" t="str">
        <f t="shared" si="0"/>
        <v>Conservador-HÍBRIDOS</v>
      </c>
      <c r="C5" s="34" t="s">
        <v>19</v>
      </c>
      <c r="D5" s="34" t="s">
        <v>28</v>
      </c>
      <c r="E5" s="35">
        <v>0.1</v>
      </c>
    </row>
    <row r="6" spans="2:5" x14ac:dyDescent="0.25">
      <c r="B6" s="33" t="str">
        <f t="shared" si="0"/>
        <v>Conservador-FOFs</v>
      </c>
      <c r="C6" s="34" t="s">
        <v>19</v>
      </c>
      <c r="D6" s="34" t="s">
        <v>29</v>
      </c>
      <c r="E6" s="35">
        <v>0.1</v>
      </c>
    </row>
    <row r="7" spans="2:5" x14ac:dyDescent="0.25">
      <c r="B7" s="33" t="str">
        <f t="shared" si="0"/>
        <v>Conservador-DESENVOLVIMENTO</v>
      </c>
      <c r="C7" s="34" t="s">
        <v>19</v>
      </c>
      <c r="D7" s="34" t="s">
        <v>30</v>
      </c>
      <c r="E7" s="35">
        <v>0</v>
      </c>
    </row>
    <row r="8" spans="2:5" x14ac:dyDescent="0.25">
      <c r="B8" s="45" t="str">
        <f t="shared" si="0"/>
        <v>Conservador-HOTELARIAS</v>
      </c>
      <c r="C8" s="46" t="s">
        <v>19</v>
      </c>
      <c r="D8" s="46" t="s">
        <v>31</v>
      </c>
      <c r="E8" s="47">
        <v>0</v>
      </c>
    </row>
    <row r="9" spans="2:5" x14ac:dyDescent="0.25">
      <c r="B9" s="48" t="str">
        <f>C9&amp;"-"&amp;D9</f>
        <v>Moderado-PAPEL</v>
      </c>
      <c r="C9" s="49" t="s">
        <v>20</v>
      </c>
      <c r="D9" s="49" t="s">
        <v>26</v>
      </c>
      <c r="E9" s="50">
        <v>0.32</v>
      </c>
    </row>
    <row r="10" spans="2:5" x14ac:dyDescent="0.25">
      <c r="B10" s="36" t="str">
        <f t="shared" ref="B10:B14" si="1">C10&amp;"-"&amp;D10</f>
        <v>Moderado-TIJOLO</v>
      </c>
      <c r="C10" s="37" t="s">
        <v>20</v>
      </c>
      <c r="D10" s="37" t="s">
        <v>27</v>
      </c>
      <c r="E10" s="38">
        <v>0.35</v>
      </c>
    </row>
    <row r="11" spans="2:5" x14ac:dyDescent="0.25">
      <c r="B11" s="36" t="str">
        <f t="shared" si="1"/>
        <v>Moderado-HÍBRIDOS</v>
      </c>
      <c r="C11" s="37" t="s">
        <v>20</v>
      </c>
      <c r="D11" s="37" t="s">
        <v>28</v>
      </c>
      <c r="E11" s="38">
        <v>0.08</v>
      </c>
    </row>
    <row r="12" spans="2:5" x14ac:dyDescent="0.25">
      <c r="B12" s="36" t="str">
        <f t="shared" si="1"/>
        <v>Moderado-FOFs</v>
      </c>
      <c r="C12" s="37" t="s">
        <v>20</v>
      </c>
      <c r="D12" s="37" t="s">
        <v>29</v>
      </c>
      <c r="E12" s="38">
        <v>0.05</v>
      </c>
    </row>
    <row r="13" spans="2:5" x14ac:dyDescent="0.25">
      <c r="B13" s="36" t="str">
        <f t="shared" si="1"/>
        <v>Moderado-DESENVOLVIMENTO</v>
      </c>
      <c r="C13" s="37" t="s">
        <v>20</v>
      </c>
      <c r="D13" s="37" t="s">
        <v>30</v>
      </c>
      <c r="E13" s="38">
        <v>0.1</v>
      </c>
    </row>
    <row r="14" spans="2:5" x14ac:dyDescent="0.25">
      <c r="B14" s="51" t="str">
        <f t="shared" si="1"/>
        <v>Moderado-HOTELARIAS</v>
      </c>
      <c r="C14" s="52" t="s">
        <v>20</v>
      </c>
      <c r="D14" s="52" t="s">
        <v>31</v>
      </c>
      <c r="E14" s="53">
        <v>0.1</v>
      </c>
    </row>
    <row r="15" spans="2:5" x14ac:dyDescent="0.25">
      <c r="B15" s="54" t="str">
        <f>C15&amp;"-"&amp;D15</f>
        <v>Agressivo-PAPEL</v>
      </c>
      <c r="C15" s="55" t="s">
        <v>21</v>
      </c>
      <c r="D15" s="55" t="s">
        <v>26</v>
      </c>
      <c r="E15" s="56">
        <v>0.5</v>
      </c>
    </row>
    <row r="16" spans="2:5" x14ac:dyDescent="0.25">
      <c r="B16" s="39" t="str">
        <f t="shared" ref="B16:B20" si="2">C16&amp;"-"&amp;D16</f>
        <v>Agressivo-TIJOLO</v>
      </c>
      <c r="C16" s="40" t="s">
        <v>21</v>
      </c>
      <c r="D16" s="40" t="s">
        <v>27</v>
      </c>
      <c r="E16" s="41">
        <v>0.1</v>
      </c>
    </row>
    <row r="17" spans="2:5" x14ac:dyDescent="0.25">
      <c r="B17" s="39" t="str">
        <f t="shared" si="2"/>
        <v>Agressivo-HÍBRIDOS</v>
      </c>
      <c r="C17" s="40" t="s">
        <v>21</v>
      </c>
      <c r="D17" s="40" t="s">
        <v>28</v>
      </c>
      <c r="E17" s="41">
        <v>0.05</v>
      </c>
    </row>
    <row r="18" spans="2:5" x14ac:dyDescent="0.25">
      <c r="B18" s="39" t="str">
        <f t="shared" si="2"/>
        <v>Agressivo-FOFs</v>
      </c>
      <c r="C18" s="40" t="s">
        <v>21</v>
      </c>
      <c r="D18" s="40" t="s">
        <v>29</v>
      </c>
      <c r="E18" s="41">
        <v>0.05</v>
      </c>
    </row>
    <row r="19" spans="2:5" x14ac:dyDescent="0.25">
      <c r="B19" s="39" t="str">
        <f t="shared" si="2"/>
        <v>Agressivo-DESENVOLVIMENTO</v>
      </c>
      <c r="C19" s="40" t="s">
        <v>21</v>
      </c>
      <c r="D19" s="40" t="s">
        <v>30</v>
      </c>
      <c r="E19" s="41">
        <v>0.2</v>
      </c>
    </row>
    <row r="20" spans="2:5" x14ac:dyDescent="0.25">
      <c r="B20" s="42" t="str">
        <f t="shared" si="2"/>
        <v>Agressivo-HOTELARIAS</v>
      </c>
      <c r="C20" s="43" t="s">
        <v>21</v>
      </c>
      <c r="D20" s="43" t="s">
        <v>31</v>
      </c>
      <c r="E20" s="4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Tab_apoio</vt:lpstr>
      <vt:lpstr>aporte</vt:lpstr>
      <vt:lpstr>patrimonio_acumulado</vt:lpstr>
      <vt:lpstr>periodo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Hamasaki</dc:creator>
  <cp:lastModifiedBy>Daniel Hamasaki</cp:lastModifiedBy>
  <dcterms:created xsi:type="dcterms:W3CDTF">2026-09-24T17:59:26Z</dcterms:created>
  <dcterms:modified xsi:type="dcterms:W3CDTF">2026-09-29T15:14:29Z</dcterms:modified>
</cp:coreProperties>
</file>